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730" windowHeight="11760" tabRatio="85"/>
  </bookViews>
  <sheets>
    <sheet name="MENU" sheetId="1" r:id="rId1"/>
    <sheet name="DATABARANG" sheetId="2" r:id="rId2"/>
    <sheet name="BARANGMASUK" sheetId="3" r:id="rId3"/>
    <sheet name="BARANGKELUAR" sheetId="4" r:id="rId4"/>
    <sheet name="CARIBARANG" sheetId="5" r:id="rId5"/>
    <sheet name="CARIMASUK" sheetId="6" r:id="rId6"/>
    <sheet name="CARIKELUAR" sheetId="7" r:id="rId7"/>
  </sheets>
  <definedNames>
    <definedName name="_xlnm._FilterDatabase" localSheetId="3" hidden="1">BARANGKELUAR!$A$3:$H$5</definedName>
    <definedName name="_xlnm._FilterDatabase" localSheetId="2" hidden="1">BARANGMASUK!$A$3:$H$6</definedName>
    <definedName name="_xlnm._FilterDatabase" localSheetId="1" hidden="1">DATABARANG!$A$3:$G$8</definedName>
    <definedName name="_xlnm.Criteria" localSheetId="4">CARIBARANG!$I$1:$I$2</definedName>
    <definedName name="_xlnm.Criteria" localSheetId="6">CARIKELUAR!$L$1:$M$2</definedName>
    <definedName name="_xlnm.Criteria" localSheetId="5">CARIMASUK!$L$1:$M$2</definedName>
    <definedName name="_xlnm.Criteria" localSheetId="1">DATABARANG!$I$3:$I$4</definedName>
    <definedName name="_xlnm.Extract" localSheetId="4">CARIBARANG!$A$1:$G$1</definedName>
    <definedName name="_xlnm.Extract" localSheetId="6">CARIKELUAR!$A$1:$H$1</definedName>
    <definedName name="_xlnm.Extract" localSheetId="5">CARIMASUK!$A$1:$H$1</definedName>
    <definedName name="_xlnm.Extract" localSheetId="1">DATABARANG!$K$3:$Q$3</definedName>
    <definedName name="_xlnm.Print_Area" localSheetId="6">CARIKELUAR!$A:$H</definedName>
    <definedName name="_xlnm.Print_Area" localSheetId="5">CARIMASUK!$A:$H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3" l="1"/>
  <c r="A9" i="2"/>
  <c r="A8" i="2" l="1"/>
  <c r="I4" i="2" l="1"/>
  <c r="A5" i="4" l="1"/>
  <c r="AA25" i="1" l="1"/>
  <c r="AA22" i="1"/>
  <c r="AA19" i="1"/>
  <c r="AA16" i="1"/>
  <c r="AA15" i="1"/>
  <c r="AA12" i="1"/>
  <c r="AA11" i="1"/>
  <c r="AA8" i="1"/>
  <c r="AA7" i="1"/>
  <c r="A6" i="3" l="1"/>
  <c r="A5" i="3"/>
  <c r="A7" i="2"/>
  <c r="A6" i="2"/>
  <c r="A4" i="4"/>
  <c r="J2" i="4" l="1"/>
  <c r="A4" i="3"/>
  <c r="A5" i="2" l="1"/>
  <c r="A4" i="2"/>
  <c r="J2" i="3" l="1"/>
</calcChain>
</file>

<file path=xl/sharedStrings.xml><?xml version="1.0" encoding="utf-8"?>
<sst xmlns="http://schemas.openxmlformats.org/spreadsheetml/2006/main" count="193" uniqueCount="57">
  <si>
    <t>No</t>
  </si>
  <si>
    <t>Id Barang</t>
  </si>
  <si>
    <t>Nama Barang</t>
  </si>
  <si>
    <t>Jenis Barang</t>
  </si>
  <si>
    <t>Satuan</t>
  </si>
  <si>
    <t>Stok</t>
  </si>
  <si>
    <t>Gudang</t>
  </si>
  <si>
    <t>ID-1001</t>
  </si>
  <si>
    <t>TC LG 32 inch</t>
  </si>
  <si>
    <t>Elektronik</t>
  </si>
  <si>
    <t>Buah</t>
  </si>
  <si>
    <t>Gudang 2</t>
  </si>
  <si>
    <t>ID Transaksi</t>
  </si>
  <si>
    <t>Tanggal</t>
  </si>
  <si>
    <t>Jumlah Masuk</t>
  </si>
  <si>
    <t>Kode Otomatis</t>
  </si>
  <si>
    <t>ID-1006</t>
  </si>
  <si>
    <t>Gergaji</t>
  </si>
  <si>
    <t>Perkakas</t>
  </si>
  <si>
    <t>Gudang 3</t>
  </si>
  <si>
    <t>BM-1000035</t>
  </si>
  <si>
    <t>**</t>
  </si>
  <si>
    <t>Jumlah Keluar</t>
  </si>
  <si>
    <t>BK-1000042</t>
  </si>
  <si>
    <t>Jumlah Barang</t>
  </si>
  <si>
    <t>* Nilai reorder semua barang adalah di bawah</t>
  </si>
  <si>
    <t>ID-1003</t>
  </si>
  <si>
    <t>Sapu</t>
  </si>
  <si>
    <t>Gudang 4</t>
  </si>
  <si>
    <t>ID-1008</t>
  </si>
  <si>
    <t>Lampu Neon</t>
  </si>
  <si>
    <t>Gudang 1</t>
  </si>
  <si>
    <t>BM-1000036</t>
  </si>
  <si>
    <t>BM-1000037</t>
  </si>
  <si>
    <t>Tabel Rekapitulasi</t>
  </si>
  <si>
    <t>Barang Masuk</t>
  </si>
  <si>
    <t>Jumlah Transaksi</t>
  </si>
  <si>
    <t>Jumlah Item</t>
  </si>
  <si>
    <t>Barang Keluar</t>
  </si>
  <si>
    <t>Data Barang</t>
  </si>
  <si>
    <t>Total Item</t>
  </si>
  <si>
    <t>Jumlah</t>
  </si>
  <si>
    <t>ID-1009</t>
  </si>
  <si>
    <t>Bor Kayu</t>
  </si>
  <si>
    <t>BK-1000044</t>
  </si>
  <si>
    <t>ID-1002</t>
  </si>
  <si>
    <t>Beras Pandan Wangi</t>
  </si>
  <si>
    <t>Sembako</t>
  </si>
  <si>
    <t>Kg</t>
  </si>
  <si>
    <t>Lampu Neon A</t>
  </si>
  <si>
    <t>&gt;=02/02/2020</t>
  </si>
  <si>
    <t>&lt;=08/02/2020</t>
  </si>
  <si>
    <t>&gt;=02/05/2020</t>
  </si>
  <si>
    <t>&lt;=02/05/2020</t>
  </si>
  <si>
    <t>ID-1005</t>
  </si>
  <si>
    <t>Kipas Angin</t>
  </si>
  <si>
    <t>BM-1000043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</si>
</sst>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9" tint="-0.249977111117893"/>
      <name val="Calibri"/>
      <family val="2"/>
      <charset val="1"/>
      <scheme val="minor"/>
    </font>
    <font>
      <sz val="11"/>
      <color theme="9" tint="-0.249977111117893"/>
      <name val="Calibri"/>
      <family val="2"/>
      <charset val="1"/>
      <scheme val="minor"/>
    </font>
    <font>
      <b/>
      <sz val="14"/>
      <color theme="0" tint="-0.34998626667073579"/>
      <name val="Roboto Condensed"/>
    </font>
    <font>
      <b/>
      <sz val="12"/>
      <color theme="0" tint="-0.34998626667073579"/>
      <name val="Roboto Condensed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6EB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medium">
        <color theme="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/>
    <xf numFmtId="1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0" fillId="0" borderId="0" xfId="0" applyAlignment="1">
      <alignment horizontal="center"/>
    </xf>
    <xf numFmtId="0" fontId="0" fillId="3" borderId="0" xfId="0" applyFill="1"/>
    <xf numFmtId="0" fontId="0" fillId="3" borderId="1" xfId="0" applyFill="1" applyBorder="1"/>
    <xf numFmtId="9" fontId="0" fillId="3" borderId="0" xfId="0" applyNumberFormat="1" applyFill="1"/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AB90"/>
      <color rgb="FFD2F6F2"/>
      <color rgb="FF93EDDC"/>
      <color rgb="FFFFCC99"/>
      <color rgb="FFFF99CC"/>
      <color rgb="FFE6EB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9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5.png"/><Relationship Id="rId11" Type="http://schemas.openxmlformats.org/officeDocument/2006/relationships/image" Target="../media/image12.sv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5.svg"/><Relationship Id="rId9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13</xdr:row>
          <xdr:rowOff>9525</xdr:rowOff>
        </xdr:from>
        <xdr:to>
          <xdr:col>19</xdr:col>
          <xdr:colOff>9525</xdr:colOff>
          <xdr:row>29</xdr:row>
          <xdr:rowOff>76200</xdr:rowOff>
        </xdr:to>
        <xdr:sp macro="" textlink="">
          <xdr:nvSpPr>
            <xdr:cNvPr id="1025" name="TABELBARAN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47626</xdr:colOff>
      <xdr:row>0</xdr:row>
      <xdr:rowOff>28575</xdr:rowOff>
    </xdr:from>
    <xdr:to>
      <xdr:col>4</xdr:col>
      <xdr:colOff>581026</xdr:colOff>
      <xdr:row>2</xdr:row>
      <xdr:rowOff>133350</xdr:rowOff>
    </xdr:to>
    <xdr:pic>
      <xdr:nvPicPr>
        <xdr:cNvPr id="7" name="Graphic 6" descr="Home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7901" y="28575"/>
          <a:ext cx="533400" cy="485775"/>
        </a:xfrm>
        <a:prstGeom prst="rect">
          <a:avLst/>
        </a:prstGeom>
      </xdr:spPr>
    </xdr:pic>
    <xdr:clientData/>
  </xdr:twoCellAnchor>
  <xdr:oneCellAnchor>
    <xdr:from>
      <xdr:col>4</xdr:col>
      <xdr:colOff>28575</xdr:colOff>
      <xdr:row>10</xdr:row>
      <xdr:rowOff>142875</xdr:rowOff>
    </xdr:from>
    <xdr:ext cx="3650487" cy="430567"/>
    <xdr:sp macro="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228850" y="2047875"/>
          <a:ext cx="3650487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000" b="1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BARANG YANG AKAN</a:t>
          </a:r>
          <a:r>
            <a:rPr lang="id-ID" sz="2000" b="1" baseline="0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HABIS</a:t>
          </a:r>
          <a:endParaRPr lang="id-ID" sz="20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4</xdr:col>
      <xdr:colOff>104775</xdr:colOff>
      <xdr:row>3</xdr:row>
      <xdr:rowOff>28575</xdr:rowOff>
    </xdr:from>
    <xdr:to>
      <xdr:col>23</xdr:col>
      <xdr:colOff>600075</xdr:colOff>
      <xdr:row>3</xdr:row>
      <xdr:rowOff>28575</xdr:rowOff>
    </xdr:to>
    <xdr:cxnSp macro="">
      <xdr:nvCxnSpPr>
        <xdr:cNvPr id="14" name="Straight Connector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305050" y="600075"/>
          <a:ext cx="12077700" cy="0"/>
        </a:xfrm>
        <a:prstGeom prst="line">
          <a:avLst/>
        </a:prstGeom>
        <a:ln w="381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523875</xdr:colOff>
      <xdr:row>0</xdr:row>
      <xdr:rowOff>76200</xdr:rowOff>
    </xdr:from>
    <xdr:ext cx="4397935" cy="430567"/>
    <xdr:sp macro="" textlink="">
      <xdr:nvSpPr>
        <xdr:cNvPr id="15" name="TextBox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24150" y="76200"/>
          <a:ext cx="4397935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APLIKASI</a:t>
          </a:r>
          <a:r>
            <a:rPr lang="en-US" sz="2000" b="1" baseline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PERSEDIAAN BARANG GUDANG</a:t>
          </a:r>
          <a:endParaRPr lang="id-ID" sz="2000" b="1">
            <a:solidFill>
              <a:srgbClr val="1DAB9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3</xdr:col>
      <xdr:colOff>0</xdr:colOff>
      <xdr:row>48</xdr:row>
      <xdr:rowOff>152399</xdr:rowOff>
    </xdr:to>
    <xdr:sp macro="" textlink="">
      <xdr:nvSpPr>
        <xdr:cNvPr id="17" name="Rectangle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2057400" cy="9363074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16</xdr:col>
      <xdr:colOff>581024</xdr:colOff>
      <xdr:row>10</xdr:row>
      <xdr:rowOff>161924</xdr:rowOff>
    </xdr:from>
    <xdr:to>
      <xdr:col>19</xdr:col>
      <xdr:colOff>0</xdr:colOff>
      <xdr:row>12</xdr:row>
      <xdr:rowOff>152399</xdr:rowOff>
    </xdr:to>
    <xdr:grpSp>
      <xdr:nvGrpSpPr>
        <xdr:cNvPr id="19" name="Group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0094948" y="2044773"/>
          <a:ext cx="1246447" cy="367045"/>
          <a:chOff x="10096499" y="2066924"/>
          <a:chExt cx="1247776" cy="371475"/>
        </a:xfrm>
      </xdr:grpSpPr>
      <xdr:sp macro="[0]!UpdateDataBArang" textlink="">
        <xdr:nvSpPr>
          <xdr:cNvPr id="3" name="Rectangle: Rounded Corners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0096499" y="2066924"/>
            <a:ext cx="1247776" cy="371475"/>
          </a:xfrm>
          <a:prstGeom prst="roundRect">
            <a:avLst>
              <a:gd name="adj" fmla="val 0"/>
            </a:avLst>
          </a:prstGeom>
          <a:solidFill>
            <a:srgbClr val="1DAB9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 Data</a:t>
            </a:r>
            <a:endParaRPr lang="id-ID" sz="1100"/>
          </a:p>
        </xdr:txBody>
      </xdr:sp>
      <xdr:pic macro="[0]!UpdateDataBArang">
        <xdr:nvPicPr>
          <xdr:cNvPr id="18" name="Graphic 17" descr="Repeat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34600" y="208597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57150</xdr:colOff>
      <xdr:row>3</xdr:row>
      <xdr:rowOff>138112</xdr:rowOff>
    </xdr:from>
    <xdr:to>
      <xdr:col>8</xdr:col>
      <xdr:colOff>342900</xdr:colOff>
      <xdr:row>10</xdr:row>
      <xdr:rowOff>100012</xdr:rowOff>
    </xdr:to>
    <xdr:grpSp>
      <xdr:nvGrpSpPr>
        <xdr:cNvPr id="43" name="Group 42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261191" y="702967"/>
          <a:ext cx="2722378" cy="1279894"/>
          <a:chOff x="2257425" y="709612"/>
          <a:chExt cx="2724150" cy="12954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257425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1" name="Picture 20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2284" y="1009650"/>
            <a:ext cx="433388" cy="433388"/>
          </a:xfrm>
          <a:prstGeom prst="rect">
            <a:avLst/>
          </a:prstGeom>
        </xdr:spPr>
      </xdr:pic>
      <xdr:sp macro="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276475" y="1390650"/>
            <a:ext cx="1037207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Masuk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9</xdr:col>
      <xdr:colOff>171450</xdr:colOff>
      <xdr:row>3</xdr:row>
      <xdr:rowOff>138112</xdr:rowOff>
    </xdr:from>
    <xdr:to>
      <xdr:col>13</xdr:col>
      <xdr:colOff>461962</xdr:colOff>
      <xdr:row>10</xdr:row>
      <xdr:rowOff>100012</xdr:rowOff>
    </xdr:to>
    <xdr:grpSp>
      <xdr:nvGrpSpPr>
        <xdr:cNvPr id="44" name="Group 43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421276" y="702967"/>
          <a:ext cx="2727139" cy="1279894"/>
          <a:chOff x="5419725" y="709612"/>
          <a:chExt cx="2728912" cy="1295400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24487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2" name="Picture 21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9250" y="981941"/>
            <a:ext cx="533400" cy="533400"/>
          </a:xfrm>
          <a:prstGeom prst="rect">
            <a:avLst/>
          </a:prstGeom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5419725" y="1409700"/>
            <a:ext cx="102669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Keluar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14</xdr:col>
      <xdr:colOff>285750</xdr:colOff>
      <xdr:row>3</xdr:row>
      <xdr:rowOff>138112</xdr:rowOff>
    </xdr:from>
    <xdr:to>
      <xdr:col>19</xdr:col>
      <xdr:colOff>4850</xdr:colOff>
      <xdr:row>10</xdr:row>
      <xdr:rowOff>100012</xdr:rowOff>
    </xdr:to>
    <xdr:grpSp>
      <xdr:nvGrpSpPr>
        <xdr:cNvPr id="45" name="Group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581360" y="702967"/>
          <a:ext cx="2764885" cy="1279894"/>
          <a:chOff x="8582025" y="709612"/>
          <a:chExt cx="2767100" cy="12954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591550" y="709612"/>
            <a:ext cx="2757575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914400"/>
            <a:ext cx="571500" cy="571500"/>
          </a:xfrm>
          <a:prstGeom prst="rect">
            <a:avLst/>
          </a:prstGeom>
        </xdr:spPr>
      </xdr:pic>
      <xdr:sp macro="" textlink="">
        <xdr:nvSpPr>
          <xdr:cNvPr id="27" name="TextBox 26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8582025" y="1400175"/>
            <a:ext cx="1888466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Total Barang</a:t>
            </a:r>
            <a:r>
              <a:rPr lang="en-US" sz="1200" b="0" baseline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 Semua Gudang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19</xdr:col>
      <xdr:colOff>314325</xdr:colOff>
      <xdr:row>3</xdr:row>
      <xdr:rowOff>147637</xdr:rowOff>
    </xdr:from>
    <xdr:to>
      <xdr:col>24</xdr:col>
      <xdr:colOff>23900</xdr:colOff>
      <xdr:row>12</xdr:row>
      <xdr:rowOff>171451</xdr:rowOff>
    </xdr:to>
    <xdr:grpSp>
      <xdr:nvGrpSpPr>
        <xdr:cNvPr id="40" name="Group 39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1655720" y="712492"/>
          <a:ext cx="2755360" cy="1718378"/>
          <a:chOff x="11658600" y="719137"/>
          <a:chExt cx="2757575" cy="1738314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1658600" y="719137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2" name="Group 31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11782425" y="1143000"/>
            <a:ext cx="1569987" cy="866774"/>
            <a:chOff x="11782425" y="1190625"/>
            <a:chExt cx="1569987" cy="866774"/>
          </a:xfrm>
        </xdr:grpSpPr>
        <xdr:pic>
          <xdr:nvPicPr>
            <xdr:cNvPr id="31" name="Graphic 30" descr="House">
              <a:extLst>
                <a:ext uri="{FF2B5EF4-FFF2-40B4-BE49-F238E27FC236}">
                  <a16:creationId xmlns=""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1782425" y="11906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1801475" y="1762125"/>
              <a:ext cx="1550937" cy="2952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1</a:t>
              </a:r>
              <a:endParaRPr lang="id-ID" sz="1200" b="0">
                <a:solidFill>
                  <a:schemeClr val="bg1">
                    <a:lumMod val="6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19</xdr:col>
      <xdr:colOff>314325</xdr:colOff>
      <xdr:row>14</xdr:row>
      <xdr:rowOff>23812</xdr:rowOff>
    </xdr:from>
    <xdr:to>
      <xdr:col>24</xdr:col>
      <xdr:colOff>23900</xdr:colOff>
      <xdr:row>23</xdr:row>
      <xdr:rowOff>47626</xdr:rowOff>
    </xdr:to>
    <xdr:grpSp>
      <xdr:nvGrpSpPr>
        <xdr:cNvPr id="41" name="Group 40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11655720" y="2659800"/>
          <a:ext cx="2755360" cy="1718378"/>
          <a:chOff x="11658600" y="2690812"/>
          <a:chExt cx="2757575" cy="1738314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658600" y="2690812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8" name="Group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11782425" y="3086100"/>
            <a:ext cx="1550937" cy="828674"/>
            <a:chOff x="11791950" y="3209925"/>
            <a:chExt cx="1550937" cy="828674"/>
          </a:xfrm>
        </xdr:grpSpPr>
        <xdr:pic>
          <xdr:nvPicPr>
            <xdr:cNvPr id="33" name="Graphic 32" descr="House">
              <a:extLst>
                <a:ext uri="{FF2B5EF4-FFF2-40B4-BE49-F238E27FC236}">
                  <a16:creationId xmlns="" xmlns:a16="http://schemas.microsoft.com/office/drawing/2014/main" id="{00000000-0008-0000-00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1791950" y="32099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6" name="TextBox 35">
              <a:extLst>
                <a:ext uri="{FF2B5EF4-FFF2-40B4-BE49-F238E27FC236}">
                  <a16:creationId xmlns=""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11791950" y="3743325"/>
              <a:ext cx="1550937" cy="2952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2</a:t>
              </a:r>
              <a:endParaRPr lang="id-ID" sz="1200" b="0">
                <a:solidFill>
                  <a:schemeClr val="bg1">
                    <a:lumMod val="6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19</xdr:col>
      <xdr:colOff>314325</xdr:colOff>
      <xdr:row>24</xdr:row>
      <xdr:rowOff>90487</xdr:rowOff>
    </xdr:from>
    <xdr:to>
      <xdr:col>24</xdr:col>
      <xdr:colOff>23900</xdr:colOff>
      <xdr:row>33</xdr:row>
      <xdr:rowOff>47626</xdr:rowOff>
    </xdr:to>
    <xdr:grpSp>
      <xdr:nvGrpSpPr>
        <xdr:cNvPr id="42" name="Group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1655720" y="4609324"/>
          <a:ext cx="2755360" cy="1707081"/>
          <a:chOff x="11658600" y="4662487"/>
          <a:chExt cx="2757575" cy="1738314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1658600" y="4662487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9" name="Group 38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11782425" y="5057775"/>
            <a:ext cx="1560462" cy="847724"/>
            <a:chOff x="11782425" y="5105400"/>
            <a:chExt cx="1560462" cy="847724"/>
          </a:xfrm>
        </xdr:grpSpPr>
        <xdr:pic>
          <xdr:nvPicPr>
            <xdr:cNvPr id="34" name="Graphic 33" descr="House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1782425" y="5105400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7" name="TextBox 36">
              <a:extLst>
                <a:ext uri="{FF2B5EF4-FFF2-40B4-BE49-F238E27FC236}">
                  <a16:creationId xmlns=""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11791950" y="5657850"/>
              <a:ext cx="1550937" cy="2952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3</a:t>
              </a:r>
              <a:endParaRPr lang="id-ID" sz="1200" b="0">
                <a:solidFill>
                  <a:schemeClr val="bg1">
                    <a:lumMod val="6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0</xdr:col>
      <xdr:colOff>1</xdr:colOff>
      <xdr:row>9</xdr:row>
      <xdr:rowOff>114300</xdr:rowOff>
    </xdr:from>
    <xdr:to>
      <xdr:col>3</xdr:col>
      <xdr:colOff>1</xdr:colOff>
      <xdr:row>11</xdr:row>
      <xdr:rowOff>123825</xdr:rowOff>
    </xdr:to>
    <xdr:sp macro="[0]!BukaDataBarang" textlink="">
      <xdr:nvSpPr>
        <xdr:cNvPr id="53" name="Rectangle: Rounded Corners 52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SpPr/>
      </xdr:nvSpPr>
      <xdr:spPr>
        <a:xfrm>
          <a:off x="1" y="1828800"/>
          <a:ext cx="2057400" cy="390525"/>
        </a:xfrm>
        <a:prstGeom prst="roundRect">
          <a:avLst>
            <a:gd name="adj" fmla="val 0"/>
          </a:avLst>
        </a:prstGeom>
        <a:solidFill>
          <a:srgbClr val="37D09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Data Barang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13</xdr:row>
      <xdr:rowOff>28575</xdr:rowOff>
    </xdr:from>
    <xdr:to>
      <xdr:col>3</xdr:col>
      <xdr:colOff>0</xdr:colOff>
      <xdr:row>15</xdr:row>
      <xdr:rowOff>38100</xdr:rowOff>
    </xdr:to>
    <xdr:sp macro="[0]!BarangMasuk" textlink="">
      <xdr:nvSpPr>
        <xdr:cNvPr id="54" name="Rectangle: Rounded Corners 53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2505075"/>
          <a:ext cx="2057400" cy="390525"/>
        </a:xfrm>
        <a:prstGeom prst="roundRect">
          <a:avLst>
            <a:gd name="adj" fmla="val 0"/>
          </a:avLst>
        </a:prstGeom>
        <a:solidFill>
          <a:srgbClr val="37D09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Barang Masuk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3</xdr:col>
      <xdr:colOff>0</xdr:colOff>
      <xdr:row>18</xdr:row>
      <xdr:rowOff>95250</xdr:rowOff>
    </xdr:to>
    <xdr:sp macro="[0]!BarangKeluar" textlink="">
      <xdr:nvSpPr>
        <xdr:cNvPr id="55" name="Rectangle: Rounded Corners 54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3133725"/>
          <a:ext cx="2057400" cy="390525"/>
        </a:xfrm>
        <a:prstGeom prst="roundRect">
          <a:avLst>
            <a:gd name="adj" fmla="val 0"/>
          </a:avLst>
        </a:prstGeom>
        <a:solidFill>
          <a:srgbClr val="37D09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Barang Keluar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19</xdr:row>
      <xdr:rowOff>171450</xdr:rowOff>
    </xdr:from>
    <xdr:to>
      <xdr:col>3</xdr:col>
      <xdr:colOff>0</xdr:colOff>
      <xdr:row>21</xdr:row>
      <xdr:rowOff>180975</xdr:rowOff>
    </xdr:to>
    <xdr:sp macro="[0]!SimpanData" textlink="">
      <xdr:nvSpPr>
        <xdr:cNvPr id="56" name="Rectangle: Rounded Corners 55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SpPr/>
      </xdr:nvSpPr>
      <xdr:spPr>
        <a:xfrm>
          <a:off x="0" y="3790950"/>
          <a:ext cx="2057400" cy="390525"/>
        </a:xfrm>
        <a:prstGeom prst="roundRect">
          <a:avLst>
            <a:gd name="adj" fmla="val 0"/>
          </a:avLst>
        </a:prstGeom>
        <a:solidFill>
          <a:srgbClr val="37D09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Simpan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23</xdr:row>
      <xdr:rowOff>57150</xdr:rowOff>
    </xdr:from>
    <xdr:to>
      <xdr:col>3</xdr:col>
      <xdr:colOff>0</xdr:colOff>
      <xdr:row>25</xdr:row>
      <xdr:rowOff>66675</xdr:rowOff>
    </xdr:to>
    <xdr:sp macro="[0]!Keluar" textlink="">
      <xdr:nvSpPr>
        <xdr:cNvPr id="57" name="Rectangle: Rounded Corners 56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4438650"/>
          <a:ext cx="2057400" cy="390525"/>
        </a:xfrm>
        <a:prstGeom prst="roundRect">
          <a:avLst>
            <a:gd name="adj" fmla="val 0"/>
          </a:avLst>
        </a:prstGeom>
        <a:solidFill>
          <a:srgbClr val="37D09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Keluar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4</xdr:col>
      <xdr:colOff>66675</xdr:colOff>
      <xdr:row>8</xdr:row>
      <xdr:rowOff>66675</xdr:rowOff>
    </xdr:from>
    <xdr:to>
      <xdr:col>8</xdr:col>
      <xdr:colOff>276225</xdr:colOff>
      <xdr:row>10</xdr:row>
      <xdr:rowOff>47625</xdr:rowOff>
    </xdr:to>
    <xdr:sp macro="" textlink="$AA$12">
      <xdr:nvSpPr>
        <xdr:cNvPr id="51" name="Rectangle 50">
          <a:extLst>
            <a:ext uri="{FF2B5EF4-FFF2-40B4-BE49-F238E27FC236}">
              <a16:creationId xmlns="" xmlns:a16="http://schemas.microsoft.com/office/drawing/2014/main" id="{00000000-0008-0000-0000-000033000000}"/>
            </a:ext>
          </a:extLst>
        </xdr:cNvPr>
        <xdr:cNvSpPr/>
      </xdr:nvSpPr>
      <xdr:spPr>
        <a:xfrm>
          <a:off x="2266950" y="159067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37A707E-5804-4C1E-96F4-BAEF395C3E9C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165</a:t>
          </a:fld>
          <a:endParaRPr lang="id-ID" sz="1400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9</xdr:col>
      <xdr:colOff>171450</xdr:colOff>
      <xdr:row>8</xdr:row>
      <xdr:rowOff>85725</xdr:rowOff>
    </xdr:from>
    <xdr:to>
      <xdr:col>13</xdr:col>
      <xdr:colOff>381000</xdr:colOff>
      <xdr:row>10</xdr:row>
      <xdr:rowOff>66675</xdr:rowOff>
    </xdr:to>
    <xdr:sp macro="" textlink="$AA$16">
      <xdr:nvSpPr>
        <xdr:cNvPr id="59" name="Rectangle 58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SpPr/>
      </xdr:nvSpPr>
      <xdr:spPr>
        <a:xfrm>
          <a:off x="5419725" y="160972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315BF9B-E628-4DB9-9042-251AAA7D127E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62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314325</xdr:colOff>
      <xdr:row>8</xdr:row>
      <xdr:rowOff>95250</xdr:rowOff>
    </xdr:from>
    <xdr:to>
      <xdr:col>18</xdr:col>
      <xdr:colOff>523875</xdr:colOff>
      <xdr:row>10</xdr:row>
      <xdr:rowOff>76200</xdr:rowOff>
    </xdr:to>
    <xdr:sp macro="" textlink="$AA$8">
      <xdr:nvSpPr>
        <xdr:cNvPr id="60" name="Rectangle 59">
          <a:extLst>
            <a:ext uri="{FF2B5EF4-FFF2-40B4-BE49-F238E27FC236}">
              <a16:creationId xmlns="" xmlns:a16="http://schemas.microsoft.com/office/drawing/2014/main" id="{00000000-0008-0000-0000-00003C000000}"/>
            </a:ext>
          </a:extLst>
        </xdr:cNvPr>
        <xdr:cNvSpPr/>
      </xdr:nvSpPr>
      <xdr:spPr>
        <a:xfrm>
          <a:off x="8610600" y="1619250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9AA36D73-F583-409F-B33D-D727B10A7D31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245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447675</xdr:colOff>
      <xdr:row>10</xdr:row>
      <xdr:rowOff>38100</xdr:rowOff>
    </xdr:from>
    <xdr:to>
      <xdr:col>23</xdr:col>
      <xdr:colOff>438150</xdr:colOff>
      <xdr:row>12</xdr:row>
      <xdr:rowOff>19050</xdr:rowOff>
    </xdr:to>
    <xdr:sp macro="" textlink="$AA$19">
      <xdr:nvSpPr>
        <xdr:cNvPr id="61" name="Rectangle 60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SpPr/>
      </xdr:nvSpPr>
      <xdr:spPr>
        <a:xfrm>
          <a:off x="11791950" y="1943100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570F1D1-41EC-4CA8-A0DC-F8D943D7DF83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95</a:t>
          </a:fld>
          <a:endParaRPr lang="id-ID" sz="44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19</xdr:col>
      <xdr:colOff>457200</xdr:colOff>
      <xdr:row>20</xdr:row>
      <xdr:rowOff>85725</xdr:rowOff>
    </xdr:from>
    <xdr:to>
      <xdr:col>23</xdr:col>
      <xdr:colOff>447675</xdr:colOff>
      <xdr:row>22</xdr:row>
      <xdr:rowOff>66675</xdr:rowOff>
    </xdr:to>
    <xdr:sp macro="" textlink="$AA$22">
      <xdr:nvSpPr>
        <xdr:cNvPr id="62" name="Rectangle 61">
          <a:extLst>
            <a:ext uri="{FF2B5EF4-FFF2-40B4-BE49-F238E27FC236}">
              <a16:creationId xmlns="" xmlns:a16="http://schemas.microsoft.com/office/drawing/2014/main" id="{00000000-0008-0000-0000-00003E000000}"/>
            </a:ext>
          </a:extLst>
        </xdr:cNvPr>
        <xdr:cNvSpPr/>
      </xdr:nvSpPr>
      <xdr:spPr>
        <a:xfrm>
          <a:off x="11801475" y="389572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AAFDCBE-41E5-4CBD-93F8-37A66341088E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70</a:t>
          </a:fld>
          <a:endParaRPr lang="id-ID" sz="2400" b="1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428625</xdr:colOff>
      <xdr:row>30</xdr:row>
      <xdr:rowOff>180975</xdr:rowOff>
    </xdr:from>
    <xdr:to>
      <xdr:col>23</xdr:col>
      <xdr:colOff>419100</xdr:colOff>
      <xdr:row>32</xdr:row>
      <xdr:rowOff>95250</xdr:rowOff>
    </xdr:to>
    <xdr:sp macro="" textlink="$AA$25">
      <xdr:nvSpPr>
        <xdr:cNvPr id="63" name="Rectangle 6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SpPr/>
      </xdr:nvSpPr>
      <xdr:spPr>
        <a:xfrm>
          <a:off x="11772900" y="589597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8F81ED3-135A-4211-9A3D-B70E0B45FCAA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80</a:t>
          </a:fld>
          <a:endParaRPr lang="id-ID" sz="2400" b="1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5:AA31"/>
  <sheetViews>
    <sheetView showGridLines="0" tabSelected="1" zoomScale="86" zoomScaleNormal="86" workbookViewId="0">
      <selection activeCell="M33" sqref="M33"/>
    </sheetView>
  </sheetViews>
  <sheetFormatPr defaultRowHeight="15" x14ac:dyDescent="0.25"/>
  <cols>
    <col min="1" max="2" width="9.140625" style="11"/>
    <col min="3" max="3" width="12.5703125" style="11" customWidth="1"/>
    <col min="4" max="4" width="2.140625" style="11" customWidth="1"/>
    <col min="5" max="25" width="9.140625" style="11"/>
    <col min="26" max="26" width="17.42578125" style="11" bestFit="1" customWidth="1"/>
    <col min="27" max="27" width="9.140625" style="16"/>
    <col min="28" max="16384" width="9.140625" style="11"/>
  </cols>
  <sheetData>
    <row r="5" spans="6:27" x14ac:dyDescent="0.25">
      <c r="Z5" s="11" t="s">
        <v>34</v>
      </c>
    </row>
    <row r="6" spans="6:27" x14ac:dyDescent="0.25">
      <c r="Z6" s="12" t="s">
        <v>39</v>
      </c>
      <c r="AA6" s="17" t="s">
        <v>41</v>
      </c>
    </row>
    <row r="7" spans="6:27" x14ac:dyDescent="0.25">
      <c r="Z7" s="12" t="s">
        <v>24</v>
      </c>
      <c r="AA7" s="17">
        <f>COUNTA(DATABARANG!$B$4:$B$69999)</f>
        <v>6</v>
      </c>
    </row>
    <row r="8" spans="6:27" x14ac:dyDescent="0.25">
      <c r="Z8" s="12" t="s">
        <v>40</v>
      </c>
      <c r="AA8" s="17">
        <f>SUM(DATABARANG!$G$4:$G$69999)</f>
        <v>245</v>
      </c>
    </row>
    <row r="10" spans="6:27" x14ac:dyDescent="0.25">
      <c r="Z10" s="12" t="s">
        <v>35</v>
      </c>
      <c r="AA10" s="17" t="s">
        <v>41</v>
      </c>
    </row>
    <row r="11" spans="6:27" x14ac:dyDescent="0.25">
      <c r="Z11" s="12" t="s">
        <v>36</v>
      </c>
      <c r="AA11" s="17">
        <f>COUNTA(BARANGMASUK!$B$4:$B$59997)</f>
        <v>4</v>
      </c>
    </row>
    <row r="12" spans="6:27" x14ac:dyDescent="0.25">
      <c r="Z12" s="12" t="s">
        <v>37</v>
      </c>
      <c r="AA12" s="17">
        <f>SUM(BARANGMASUK!$H$4:$H$59997)</f>
        <v>165</v>
      </c>
    </row>
    <row r="13" spans="6:27" x14ac:dyDescent="0.25">
      <c r="F13" s="13"/>
    </row>
    <row r="14" spans="6:27" x14ac:dyDescent="0.25">
      <c r="Z14" s="12" t="s">
        <v>38</v>
      </c>
      <c r="AA14" s="17" t="s">
        <v>41</v>
      </c>
    </row>
    <row r="15" spans="6:27" x14ac:dyDescent="0.25">
      <c r="Z15" s="12" t="s">
        <v>36</v>
      </c>
      <c r="AA15" s="17">
        <f>COUNTA(BARANGKELUAR!$B$4:$B$49997)</f>
        <v>2</v>
      </c>
    </row>
    <row r="16" spans="6:27" x14ac:dyDescent="0.25">
      <c r="Z16" s="12" t="s">
        <v>37</v>
      </c>
      <c r="AA16" s="17">
        <f>SUM(BARANGKELUAR!$H$4:$H$49997)</f>
        <v>62</v>
      </c>
    </row>
    <row r="18" spans="5:27" x14ac:dyDescent="0.25">
      <c r="Z18" s="12" t="s">
        <v>31</v>
      </c>
      <c r="AA18" s="17" t="s">
        <v>41</v>
      </c>
    </row>
    <row r="19" spans="5:27" x14ac:dyDescent="0.25">
      <c r="Z19" s="12" t="s">
        <v>24</v>
      </c>
      <c r="AA19" s="17">
        <f>SUMIF(DATABARANG!$F$4:$F$69999,MENU!$Z$18,DATABARANG!$G$4:$G$69999)</f>
        <v>95</v>
      </c>
    </row>
    <row r="21" spans="5:27" x14ac:dyDescent="0.25">
      <c r="Z21" s="12" t="s">
        <v>11</v>
      </c>
      <c r="AA21" s="17" t="s">
        <v>41</v>
      </c>
    </row>
    <row r="22" spans="5:27" x14ac:dyDescent="0.25">
      <c r="Z22" s="12" t="s">
        <v>24</v>
      </c>
      <c r="AA22" s="17">
        <f>SUMIF(DATABARANG!$F$4:$F$69999,MENU!$Z$21,DATABARANG!$G$4:$G$69999)</f>
        <v>70</v>
      </c>
    </row>
    <row r="24" spans="5:27" x14ac:dyDescent="0.25">
      <c r="Z24" s="12" t="s">
        <v>19</v>
      </c>
      <c r="AA24" s="17" t="s">
        <v>41</v>
      </c>
    </row>
    <row r="25" spans="5:27" x14ac:dyDescent="0.25">
      <c r="Z25" s="12" t="s">
        <v>24</v>
      </c>
      <c r="AA25" s="17">
        <f>SUMIF(DATABARANG!$F$4:$F$69999,MENU!$Z$24,DATABARANG!$G$4:$G$69999)</f>
        <v>80</v>
      </c>
    </row>
    <row r="31" spans="5:27" ht="18.75" x14ac:dyDescent="0.25">
      <c r="E31" s="14" t="s">
        <v>25</v>
      </c>
      <c r="J31" s="15">
        <v>20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ABELBARANG">
          <controlPr defaultSize="0" autoLine="0" autoPict="0" listFillRange="DATABARANG!K4:Q8" r:id="rId5">
            <anchor moveWithCells="1">
              <from>
                <xdr:col>4</xdr:col>
                <xdr:colOff>85725</xdr:colOff>
                <xdr:row>13</xdr:row>
                <xdr:rowOff>9525</xdr:rowOff>
              </from>
              <to>
                <xdr:col>19</xdr:col>
                <xdr:colOff>9525</xdr:colOff>
                <xdr:row>29</xdr:row>
                <xdr:rowOff>76200</xdr:rowOff>
              </to>
            </anchor>
          </controlPr>
        </control>
      </mc:Choice>
      <mc:Fallback>
        <control shapeId="1025" r:id="rId4" name="TABELBARA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Q9"/>
  <sheetViews>
    <sheetView showGridLines="0" workbookViewId="0">
      <selection activeCell="G4" sqref="G4:G9"/>
    </sheetView>
  </sheetViews>
  <sheetFormatPr defaultRowHeight="15" x14ac:dyDescent="0.25"/>
  <cols>
    <col min="1" max="1" width="5.140625" style="1" customWidth="1"/>
    <col min="2" max="2" width="9.85546875" customWidth="1"/>
    <col min="3" max="3" width="19.140625" customWidth="1"/>
    <col min="4" max="4" width="12.5703125" customWidth="1"/>
    <col min="6" max="6" width="10" customWidth="1"/>
    <col min="7" max="7" width="11" style="1" customWidth="1"/>
    <col min="9" max="9" width="12.85546875" customWidth="1"/>
  </cols>
  <sheetData>
    <row r="3" spans="1:17" ht="15.75" thickBot="1" x14ac:dyDescent="0.3">
      <c r="A3" s="8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6</v>
      </c>
      <c r="G3" s="8" t="s">
        <v>5</v>
      </c>
      <c r="I3" s="3" t="s">
        <v>5</v>
      </c>
      <c r="K3" s="8" t="s">
        <v>0</v>
      </c>
      <c r="L3" s="9" t="s">
        <v>1</v>
      </c>
      <c r="M3" s="9" t="s">
        <v>2</v>
      </c>
      <c r="N3" s="9" t="s">
        <v>3</v>
      </c>
      <c r="O3" s="9" t="s">
        <v>4</v>
      </c>
      <c r="P3" s="9" t="s">
        <v>6</v>
      </c>
      <c r="Q3" s="8" t="s">
        <v>5</v>
      </c>
    </row>
    <row r="4" spans="1:17" x14ac:dyDescent="0.25">
      <c r="A4" s="5">
        <f>ROW()-ROW(DATABARANG!$A$3)</f>
        <v>1</v>
      </c>
      <c r="B4" s="6" t="s">
        <v>7</v>
      </c>
      <c r="C4" s="6" t="s">
        <v>8</v>
      </c>
      <c r="D4" s="6" t="s">
        <v>9</v>
      </c>
      <c r="E4" s="6" t="s">
        <v>10</v>
      </c>
      <c r="F4" s="6" t="s">
        <v>11</v>
      </c>
      <c r="G4" s="5">
        <v>70</v>
      </c>
      <c r="I4" s="5" t="str">
        <f>"&lt;"&amp;MENU!$J$31</f>
        <v>&lt;20</v>
      </c>
      <c r="K4" s="1">
        <v>5</v>
      </c>
      <c r="L4" t="s">
        <v>45</v>
      </c>
      <c r="M4" t="s">
        <v>46</v>
      </c>
      <c r="N4" t="s">
        <v>47</v>
      </c>
      <c r="O4" t="s">
        <v>48</v>
      </c>
      <c r="P4" t="s">
        <v>31</v>
      </c>
      <c r="Q4" s="1">
        <v>0</v>
      </c>
    </row>
    <row r="5" spans="1:17" x14ac:dyDescent="0.25">
      <c r="A5" s="1">
        <f>ROW()-ROW(DATABARANG!$A$3)</f>
        <v>2</v>
      </c>
      <c r="B5" t="s">
        <v>16</v>
      </c>
      <c r="C5" t="s">
        <v>17</v>
      </c>
      <c r="D5" t="s">
        <v>18</v>
      </c>
      <c r="E5" t="s">
        <v>10</v>
      </c>
      <c r="F5" t="s">
        <v>19</v>
      </c>
      <c r="G5" s="1">
        <v>30</v>
      </c>
      <c r="K5" s="1"/>
      <c r="Q5" s="1"/>
    </row>
    <row r="6" spans="1:17" x14ac:dyDescent="0.25">
      <c r="A6" s="1">
        <f>ROW()-ROW(DATABARANG!$A$3)</f>
        <v>3</v>
      </c>
      <c r="B6" t="s">
        <v>26</v>
      </c>
      <c r="C6" t="s">
        <v>27</v>
      </c>
      <c r="D6" t="s">
        <v>18</v>
      </c>
      <c r="E6" t="s">
        <v>10</v>
      </c>
      <c r="F6" t="s">
        <v>19</v>
      </c>
      <c r="G6" s="1">
        <v>50</v>
      </c>
    </row>
    <row r="7" spans="1:17" x14ac:dyDescent="0.25">
      <c r="A7" s="1">
        <f>ROW()-ROW(DATABARANG!$A$3)</f>
        <v>4</v>
      </c>
      <c r="B7" t="s">
        <v>29</v>
      </c>
      <c r="C7" t="s">
        <v>49</v>
      </c>
      <c r="D7" t="s">
        <v>9</v>
      </c>
      <c r="E7" t="s">
        <v>10</v>
      </c>
      <c r="F7" t="s">
        <v>31</v>
      </c>
      <c r="G7" s="1">
        <v>20</v>
      </c>
    </row>
    <row r="8" spans="1:17" x14ac:dyDescent="0.25">
      <c r="A8" s="1">
        <f>ROW()-ROW(DATABARANG!$A$3)</f>
        <v>5</v>
      </c>
      <c r="B8" t="s">
        <v>45</v>
      </c>
      <c r="C8" t="s">
        <v>46</v>
      </c>
      <c r="D8" t="s">
        <v>47</v>
      </c>
      <c r="E8" t="s">
        <v>48</v>
      </c>
      <c r="F8" t="s">
        <v>31</v>
      </c>
      <c r="G8" s="1">
        <v>0</v>
      </c>
    </row>
    <row r="9" spans="1:17" x14ac:dyDescent="0.25">
      <c r="A9" s="1">
        <f>ROW()-ROW(DATABARANG!$A$3)</f>
        <v>6</v>
      </c>
      <c r="B9" t="s">
        <v>54</v>
      </c>
      <c r="C9" t="s">
        <v>55</v>
      </c>
      <c r="D9" t="s">
        <v>9</v>
      </c>
      <c r="E9" t="s">
        <v>10</v>
      </c>
      <c r="F9" t="s">
        <v>31</v>
      </c>
      <c r="G9" s="1">
        <v>75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showGridLines="0" workbookViewId="0">
      <selection activeCell="B7" sqref="B7"/>
    </sheetView>
  </sheetViews>
  <sheetFormatPr defaultRowHeight="15" x14ac:dyDescent="0.25"/>
  <cols>
    <col min="1" max="1" width="7.28515625" style="1" customWidth="1"/>
    <col min="2" max="2" width="18.42578125" customWidth="1"/>
    <col min="3" max="3" width="12.5703125" customWidth="1"/>
    <col min="4" max="4" width="13.7109375" customWidth="1"/>
    <col min="5" max="5" width="17" customWidth="1"/>
    <col min="6" max="6" width="11.5703125" customWidth="1"/>
    <col min="7" max="7" width="12.28515625" customWidth="1"/>
    <col min="8" max="8" width="17.5703125" style="1" customWidth="1"/>
    <col min="10" max="10" width="14.140625" customWidth="1"/>
  </cols>
  <sheetData>
    <row r="1" spans="1:10" x14ac:dyDescent="0.25">
      <c r="J1" t="s">
        <v>15</v>
      </c>
    </row>
    <row r="2" spans="1:10" x14ac:dyDescent="0.25">
      <c r="J2" s="2">
        <f>LEN($J$3)</f>
        <v>2</v>
      </c>
    </row>
    <row r="3" spans="1:10" ht="15.75" thickBot="1" x14ac:dyDescent="0.3">
      <c r="A3" s="8" t="s">
        <v>0</v>
      </c>
      <c r="B3" s="9" t="s">
        <v>12</v>
      </c>
      <c r="C3" s="9" t="s">
        <v>13</v>
      </c>
      <c r="D3" s="9" t="s">
        <v>1</v>
      </c>
      <c r="E3" s="9" t="s">
        <v>2</v>
      </c>
      <c r="F3" s="9" t="s">
        <v>4</v>
      </c>
      <c r="G3" s="9" t="s">
        <v>6</v>
      </c>
      <c r="H3" s="8" t="s">
        <v>14</v>
      </c>
      <c r="J3" s="2">
        <v>43</v>
      </c>
    </row>
    <row r="4" spans="1:10" x14ac:dyDescent="0.25">
      <c r="A4" s="1">
        <f>ROW()-ROW(BARANGMASUK!$A$3)</f>
        <v>1</v>
      </c>
      <c r="B4" t="s">
        <v>20</v>
      </c>
      <c r="C4" s="7">
        <v>43869</v>
      </c>
      <c r="D4" t="s">
        <v>7</v>
      </c>
      <c r="E4" t="s">
        <v>8</v>
      </c>
      <c r="F4" t="s">
        <v>10</v>
      </c>
      <c r="G4" t="s">
        <v>11</v>
      </c>
      <c r="H4" s="1">
        <v>20</v>
      </c>
    </row>
    <row r="5" spans="1:10" x14ac:dyDescent="0.25">
      <c r="A5" s="1">
        <f>ROW()-ROW(BARANGMASUK!$A$3)</f>
        <v>2</v>
      </c>
      <c r="B5" t="s">
        <v>32</v>
      </c>
      <c r="C5" s="7">
        <v>43863</v>
      </c>
      <c r="D5" t="s">
        <v>26</v>
      </c>
      <c r="E5" t="s">
        <v>27</v>
      </c>
      <c r="F5" t="s">
        <v>10</v>
      </c>
      <c r="G5" t="s">
        <v>28</v>
      </c>
      <c r="H5" s="1">
        <v>50</v>
      </c>
    </row>
    <row r="6" spans="1:10" x14ac:dyDescent="0.25">
      <c r="A6" s="1">
        <f>ROW()-ROW(BARANGMASUK!$A$3)</f>
        <v>3</v>
      </c>
      <c r="B6" t="s">
        <v>33</v>
      </c>
      <c r="C6" s="7">
        <v>44167</v>
      </c>
      <c r="D6" t="s">
        <v>29</v>
      </c>
      <c r="E6" t="s">
        <v>30</v>
      </c>
      <c r="F6" t="s">
        <v>10</v>
      </c>
      <c r="G6" t="s">
        <v>31</v>
      </c>
      <c r="H6" s="1">
        <v>20</v>
      </c>
    </row>
    <row r="7" spans="1:10" x14ac:dyDescent="0.25">
      <c r="A7" s="1">
        <f>ROW()-ROW(BARANGMASUK!$A$3)</f>
        <v>4</v>
      </c>
      <c r="B7" t="s">
        <v>56</v>
      </c>
      <c r="C7" s="7">
        <v>44325</v>
      </c>
      <c r="D7" t="s">
        <v>54</v>
      </c>
      <c r="E7" t="s">
        <v>55</v>
      </c>
      <c r="F7" t="s">
        <v>10</v>
      </c>
      <c r="G7" t="s">
        <v>31</v>
      </c>
      <c r="H7" s="1">
        <v>75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showGridLines="0" workbookViewId="0">
      <selection activeCell="A4" sqref="A4:H4"/>
    </sheetView>
  </sheetViews>
  <sheetFormatPr defaultRowHeight="15" x14ac:dyDescent="0.25"/>
  <cols>
    <col min="1" max="1" width="5.7109375" customWidth="1"/>
    <col min="2" max="2" width="14.5703125" customWidth="1"/>
    <col min="3" max="3" width="13.85546875" customWidth="1"/>
    <col min="4" max="4" width="11.140625" customWidth="1"/>
    <col min="5" max="5" width="16.7109375" customWidth="1"/>
    <col min="6" max="7" width="11.140625" customWidth="1"/>
    <col min="8" max="8" width="11.85546875" bestFit="1" customWidth="1"/>
    <col min="10" max="10" width="15.42578125" customWidth="1"/>
  </cols>
  <sheetData>
    <row r="1" spans="1:10" x14ac:dyDescent="0.25">
      <c r="A1" s="1"/>
      <c r="H1" s="1"/>
      <c r="J1" t="s">
        <v>15</v>
      </c>
    </row>
    <row r="2" spans="1:10" x14ac:dyDescent="0.25">
      <c r="A2" s="1"/>
      <c r="H2" s="1"/>
      <c r="J2" s="2">
        <f>LEN($J$3)</f>
        <v>2</v>
      </c>
    </row>
    <row r="3" spans="1:10" ht="15.75" thickBot="1" x14ac:dyDescent="0.3">
      <c r="A3" s="8" t="s">
        <v>0</v>
      </c>
      <c r="B3" s="9" t="s">
        <v>12</v>
      </c>
      <c r="C3" s="9" t="s">
        <v>13</v>
      </c>
      <c r="D3" s="9" t="s">
        <v>1</v>
      </c>
      <c r="E3" s="9" t="s">
        <v>2</v>
      </c>
      <c r="F3" s="9" t="s">
        <v>4</v>
      </c>
      <c r="G3" s="9" t="s">
        <v>6</v>
      </c>
      <c r="H3" s="8" t="s">
        <v>22</v>
      </c>
      <c r="J3" s="2">
        <v>52</v>
      </c>
    </row>
    <row r="4" spans="1:10" x14ac:dyDescent="0.25">
      <c r="A4">
        <f>ROW()-ROW(BARANGMASUK!$A$3)</f>
        <v>1</v>
      </c>
      <c r="B4" t="s">
        <v>23</v>
      </c>
      <c r="C4" s="7">
        <v>43866</v>
      </c>
      <c r="D4" t="s">
        <v>7</v>
      </c>
      <c r="E4" t="s">
        <v>8</v>
      </c>
      <c r="F4" t="s">
        <v>10</v>
      </c>
      <c r="G4" t="s">
        <v>11</v>
      </c>
      <c r="H4">
        <v>50</v>
      </c>
    </row>
    <row r="5" spans="1:10" x14ac:dyDescent="0.25">
      <c r="A5">
        <f>ROW()-ROW(BARANGMASUK!$A$3)</f>
        <v>2</v>
      </c>
      <c r="B5" t="s">
        <v>44</v>
      </c>
      <c r="C5" s="7">
        <v>44106</v>
      </c>
      <c r="D5" t="s">
        <v>42</v>
      </c>
      <c r="E5" t="s">
        <v>43</v>
      </c>
      <c r="F5" t="s">
        <v>10</v>
      </c>
      <c r="G5" t="s">
        <v>28</v>
      </c>
      <c r="H5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"/>
  <sheetViews>
    <sheetView showGridLines="0" workbookViewId="0">
      <selection activeCell="G30" sqref="G30"/>
    </sheetView>
  </sheetViews>
  <sheetFormatPr defaultRowHeight="15" x14ac:dyDescent="0.25"/>
  <cols>
    <col min="2" max="7" width="16" customWidth="1"/>
  </cols>
  <sheetData>
    <row r="1" spans="1:9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6</v>
      </c>
      <c r="G1" s="3" t="s">
        <v>5</v>
      </c>
      <c r="I1" t="s">
        <v>2</v>
      </c>
    </row>
    <row r="2" spans="1:9" x14ac:dyDescent="0.25">
      <c r="A2" s="5">
        <v>1</v>
      </c>
      <c r="B2" s="6" t="s">
        <v>7</v>
      </c>
      <c r="C2" s="6" t="s">
        <v>8</v>
      </c>
      <c r="D2" s="6" t="s">
        <v>9</v>
      </c>
      <c r="E2" s="6" t="s">
        <v>10</v>
      </c>
      <c r="F2" s="6" t="s">
        <v>11</v>
      </c>
      <c r="G2" s="5">
        <v>100</v>
      </c>
      <c r="I2" t="s">
        <v>21</v>
      </c>
    </row>
    <row r="3" spans="1:9" x14ac:dyDescent="0.25">
      <c r="A3" s="1">
        <v>2</v>
      </c>
      <c r="B3" t="s">
        <v>16</v>
      </c>
      <c r="C3" t="s">
        <v>17</v>
      </c>
      <c r="D3" t="s">
        <v>18</v>
      </c>
      <c r="E3" t="s">
        <v>10</v>
      </c>
      <c r="F3" t="s">
        <v>19</v>
      </c>
      <c r="G3" s="1">
        <v>10</v>
      </c>
    </row>
    <row r="4" spans="1:9" x14ac:dyDescent="0.25">
      <c r="A4" s="1">
        <v>3</v>
      </c>
      <c r="B4" t="s">
        <v>26</v>
      </c>
      <c r="C4" t="s">
        <v>27</v>
      </c>
      <c r="D4" t="s">
        <v>18</v>
      </c>
      <c r="E4" t="s">
        <v>10</v>
      </c>
      <c r="F4" t="s">
        <v>28</v>
      </c>
      <c r="G4" s="1">
        <v>50</v>
      </c>
    </row>
    <row r="5" spans="1:9" x14ac:dyDescent="0.25">
      <c r="A5" s="1">
        <v>4</v>
      </c>
      <c r="B5" t="s">
        <v>29</v>
      </c>
      <c r="C5" t="s">
        <v>30</v>
      </c>
      <c r="D5" t="s">
        <v>9</v>
      </c>
      <c r="E5" t="s">
        <v>10</v>
      </c>
      <c r="F5" t="s">
        <v>31</v>
      </c>
      <c r="G5" s="1">
        <v>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"/>
  <sheetViews>
    <sheetView workbookViewId="0">
      <selection activeCell="F31" sqref="F31"/>
    </sheetView>
  </sheetViews>
  <sheetFormatPr defaultRowHeight="15" x14ac:dyDescent="0.25"/>
  <cols>
    <col min="1" max="1" width="6.5703125" customWidth="1"/>
    <col min="2" max="5" width="14.42578125" customWidth="1"/>
    <col min="6" max="6" width="9.28515625" customWidth="1"/>
    <col min="7" max="7" width="14.42578125" customWidth="1"/>
    <col min="8" max="8" width="11.5703125" customWidth="1"/>
    <col min="10" max="10" width="11" bestFit="1" customWidth="1"/>
    <col min="12" max="13" width="13" bestFit="1" customWidth="1"/>
  </cols>
  <sheetData>
    <row r="1" spans="1:13" ht="15.75" thickBot="1" x14ac:dyDescent="0.3">
      <c r="A1" s="8" t="s">
        <v>0</v>
      </c>
      <c r="B1" s="9" t="s">
        <v>12</v>
      </c>
      <c r="C1" s="9" t="s">
        <v>13</v>
      </c>
      <c r="D1" s="9" t="s">
        <v>1</v>
      </c>
      <c r="E1" s="9" t="s">
        <v>2</v>
      </c>
      <c r="F1" s="9" t="s">
        <v>4</v>
      </c>
      <c r="G1" s="9" t="s">
        <v>6</v>
      </c>
      <c r="H1" s="8" t="s">
        <v>14</v>
      </c>
      <c r="J1" t="s">
        <v>2</v>
      </c>
      <c r="L1" t="s">
        <v>13</v>
      </c>
      <c r="M1" t="s">
        <v>13</v>
      </c>
    </row>
    <row r="2" spans="1:13" x14ac:dyDescent="0.25">
      <c r="A2" s="1">
        <v>1</v>
      </c>
      <c r="B2" t="s">
        <v>20</v>
      </c>
      <c r="C2" s="7">
        <v>43869</v>
      </c>
      <c r="D2" t="s">
        <v>7</v>
      </c>
      <c r="E2" t="s">
        <v>8</v>
      </c>
      <c r="F2" t="s">
        <v>10</v>
      </c>
      <c r="G2" t="s">
        <v>11</v>
      </c>
      <c r="H2" s="1">
        <v>20</v>
      </c>
      <c r="J2" t="s">
        <v>21</v>
      </c>
      <c r="L2" t="s">
        <v>50</v>
      </c>
      <c r="M2" t="s">
        <v>51</v>
      </c>
    </row>
    <row r="3" spans="1:13" x14ac:dyDescent="0.25">
      <c r="A3" s="1">
        <v>2</v>
      </c>
      <c r="B3" t="s">
        <v>32</v>
      </c>
      <c r="C3" s="7">
        <v>43863</v>
      </c>
      <c r="D3" t="s">
        <v>26</v>
      </c>
      <c r="E3" t="s">
        <v>27</v>
      </c>
      <c r="F3" t="s">
        <v>10</v>
      </c>
      <c r="G3" t="s">
        <v>28</v>
      </c>
      <c r="H3" s="1">
        <v>50</v>
      </c>
    </row>
    <row r="4" spans="1:13" x14ac:dyDescent="0.25">
      <c r="A4" s="1"/>
      <c r="C4" s="7"/>
      <c r="H4" s="1"/>
    </row>
  </sheetData>
  <pageMargins left="0.14000000000000001" right="0.2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"/>
  <sheetViews>
    <sheetView showGridLines="0" workbookViewId="0">
      <selection activeCell="L5" sqref="L5"/>
    </sheetView>
  </sheetViews>
  <sheetFormatPr defaultRowHeight="15" x14ac:dyDescent="0.25"/>
  <cols>
    <col min="1" max="1" width="5.5703125" style="10" customWidth="1"/>
    <col min="2" max="2" width="12.42578125" customWidth="1"/>
    <col min="3" max="3" width="11.85546875" customWidth="1"/>
    <col min="4" max="4" width="13" customWidth="1"/>
    <col min="5" max="5" width="18.85546875" customWidth="1"/>
    <col min="6" max="6" width="8.5703125" customWidth="1"/>
    <col min="7" max="7" width="11.85546875" customWidth="1"/>
    <col min="8" max="8" width="11.7109375" bestFit="1" customWidth="1"/>
  </cols>
  <sheetData>
    <row r="1" spans="1:13" ht="15.75" thickBot="1" x14ac:dyDescent="0.3">
      <c r="A1" s="8" t="s">
        <v>0</v>
      </c>
      <c r="B1" s="9" t="s">
        <v>12</v>
      </c>
      <c r="C1" s="9" t="s">
        <v>13</v>
      </c>
      <c r="D1" s="9" t="s">
        <v>1</v>
      </c>
      <c r="E1" s="9" t="s">
        <v>2</v>
      </c>
      <c r="F1" s="9" t="s">
        <v>4</v>
      </c>
      <c r="G1" s="9" t="s">
        <v>6</v>
      </c>
      <c r="H1" s="8" t="s">
        <v>22</v>
      </c>
      <c r="J1" t="s">
        <v>2</v>
      </c>
      <c r="L1" s="9" t="s">
        <v>13</v>
      </c>
      <c r="M1" s="9" t="s">
        <v>13</v>
      </c>
    </row>
    <row r="2" spans="1:13" x14ac:dyDescent="0.25">
      <c r="A2">
        <v>1</v>
      </c>
      <c r="B2" t="s">
        <v>23</v>
      </c>
      <c r="C2" s="7">
        <v>43866</v>
      </c>
      <c r="D2" t="s">
        <v>7</v>
      </c>
      <c r="E2" t="s">
        <v>8</v>
      </c>
      <c r="F2" t="s">
        <v>10</v>
      </c>
      <c r="G2" t="s">
        <v>11</v>
      </c>
      <c r="H2">
        <v>50</v>
      </c>
      <c r="J2" t="s">
        <v>21</v>
      </c>
      <c r="L2" t="s">
        <v>52</v>
      </c>
      <c r="M2" t="s">
        <v>53</v>
      </c>
    </row>
    <row r="3" spans="1:13" x14ac:dyDescent="0.25">
      <c r="A3"/>
      <c r="C3" s="7"/>
    </row>
  </sheetData>
  <pageMargins left="0.35" right="0.24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MENU</vt:lpstr>
      <vt:lpstr>DATABARANG</vt:lpstr>
      <vt:lpstr>BARANGMASUK</vt:lpstr>
      <vt:lpstr>BARANGKELUAR</vt:lpstr>
      <vt:lpstr>CARIBARANG</vt:lpstr>
      <vt:lpstr>CARIMASUK</vt:lpstr>
      <vt:lpstr>CARIKELUAR</vt:lpstr>
      <vt:lpstr>CARIBARANG!Criteria</vt:lpstr>
      <vt:lpstr>CARIKELUAR!Criteria</vt:lpstr>
      <vt:lpstr>CARIMASUK!Criteria</vt:lpstr>
      <vt:lpstr>DATABARANG!Criteria</vt:lpstr>
      <vt:lpstr>CARIBARANG!Extract</vt:lpstr>
      <vt:lpstr>CARIKELUAR!Extract</vt:lpstr>
      <vt:lpstr>CARIMASUK!Extract</vt:lpstr>
      <vt:lpstr>DATABARANG!Extract</vt:lpstr>
      <vt:lpstr>CARIKELUAR!Print_Area</vt:lpstr>
      <vt:lpstr>CARIMASUK!Print_Area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achmad iqsan</cp:lastModifiedBy>
  <cp:lastPrinted>2021-05-09T07:55:22Z</cp:lastPrinted>
  <dcterms:created xsi:type="dcterms:W3CDTF">2021-04-23T01:17:04Z</dcterms:created>
  <dcterms:modified xsi:type="dcterms:W3CDTF">2021-05-09T08:12:38Z</dcterms:modified>
</cp:coreProperties>
</file>